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ess\purchasing-intern-gaming-main\purchasing-tool\data\"/>
    </mc:Choice>
  </mc:AlternateContent>
  <bookViews>
    <workbookView xWindow="0" yWindow="0" windowWidth="21600" windowHeight="9600"/>
  </bookViews>
  <sheets>
    <sheet name="May 2026" sheetId="1" r:id="rId1"/>
    <sheet name="Summary" sheetId="2" r:id="rId2"/>
    <sheet name="Total cost savings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3" l="1"/>
  <c r="C5" i="3" s="1"/>
  <c r="B7" i="3"/>
  <c r="B5" i="3" s="1"/>
  <c r="D4" i="3"/>
  <c r="C4" i="3"/>
  <c r="B4" i="3"/>
  <c r="F7" i="2"/>
  <c r="E7" i="2"/>
  <c r="D7" i="2"/>
  <c r="C7" i="2"/>
  <c r="B7" i="2"/>
  <c r="A3" i="2"/>
  <c r="O7" i="1"/>
  <c r="P7" i="1" s="1"/>
  <c r="O6" i="1"/>
  <c r="P6" i="1" s="1"/>
  <c r="X4" i="1"/>
  <c r="W4" i="1"/>
  <c r="V4" i="1"/>
  <c r="P4" i="1"/>
  <c r="O4" i="1"/>
  <c r="O3" i="1" s="1"/>
  <c r="N4" i="1"/>
  <c r="F4" i="1"/>
  <c r="C4" i="1"/>
  <c r="V3" i="1"/>
  <c r="V2" i="1"/>
  <c r="V1" i="1"/>
  <c r="G7" i="2" l="1"/>
  <c r="J7" i="2" s="1"/>
  <c r="B3" i="3"/>
  <c r="C3" i="3"/>
  <c r="D7" i="3"/>
  <c r="D5" i="3" s="1"/>
  <c r="D3" i="3" l="1"/>
  <c r="E6" i="3"/>
</calcChain>
</file>

<file path=xl/sharedStrings.xml><?xml version="1.0" encoding="utf-8"?>
<sst xmlns="http://schemas.openxmlformats.org/spreadsheetml/2006/main" count="61" uniqueCount="54">
  <si>
    <t>PR/PO MONITORING REPORT</t>
  </si>
  <si>
    <t>SERVED</t>
  </si>
  <si>
    <t>For the month of May 2026</t>
  </si>
  <si>
    <t>OPEN PR (processing)</t>
  </si>
  <si>
    <t>PROCESSED (await for delivery)</t>
  </si>
  <si>
    <t xml:space="preserve">under CAPEX </t>
  </si>
  <si>
    <t>CANCELLED PR/PO</t>
  </si>
  <si>
    <t>PR DATE</t>
  </si>
  <si>
    <t>PR DATE RECEIVED</t>
  </si>
  <si>
    <t>PR NO.</t>
  </si>
  <si>
    <t>REQUESTING DEPT.</t>
  </si>
  <si>
    <t>PO DATE</t>
  </si>
  <si>
    <t>PO Number</t>
  </si>
  <si>
    <t>END USER/S</t>
  </si>
  <si>
    <t>SUPPLIER'S NAME</t>
  </si>
  <si>
    <t>ITEM CODE</t>
  </si>
  <si>
    <t>ITEM DESCRIPTION</t>
  </si>
  <si>
    <t>SPECIFICATIONS</t>
  </si>
  <si>
    <t>QTY</t>
  </si>
  <si>
    <t>UoM</t>
  </si>
  <si>
    <t>UNIT PRICE</t>
  </si>
  <si>
    <t>AMOUNT</t>
  </si>
  <si>
    <t>TOTAL AMOUNT</t>
  </si>
  <si>
    <t>PAYMENT TERMS</t>
  </si>
  <si>
    <t>PR REQUIRED DATE</t>
  </si>
  <si>
    <t>DATE DELIVERED</t>
  </si>
  <si>
    <t>REMARKS</t>
  </si>
  <si>
    <t>PURCHASE ORDER STATUS</t>
  </si>
  <si>
    <t>ITEMS/SERVICES</t>
  </si>
  <si>
    <t>ORIGINAL PRICE</t>
  </si>
  <si>
    <t>TOTAL COST SAVINGS</t>
  </si>
  <si>
    <t>00400096662</t>
  </si>
  <si>
    <t>ENGINEERING</t>
  </si>
  <si>
    <t>JAPANBEIBI CONSUMER GOODS TRADING</t>
  </si>
  <si>
    <t>SMOKE DETECTOR</t>
  </si>
  <si>
    <t>PCE</t>
  </si>
  <si>
    <t>15 DAYS</t>
  </si>
  <si>
    <t>AWAITS FOR DELIVERY/ EXECUTION</t>
  </si>
  <si>
    <t>FIRE ALARM BELL 24V DC</t>
  </si>
  <si>
    <t>SUMMARY OF RO and PO Monitoring Report</t>
  </si>
  <si>
    <t>PRs received from various department</t>
  </si>
  <si>
    <t>YEAR 2026</t>
  </si>
  <si>
    <t>Month</t>
  </si>
  <si>
    <t>No. of Purchase Request Endorsed from various Dept.</t>
  </si>
  <si>
    <t>PROCESSED PO
(Served)</t>
  </si>
  <si>
    <t>PROCESSED PR
(For PO)</t>
  </si>
  <si>
    <t>PROCESSED PO
(Waiting for Delivery)</t>
  </si>
  <si>
    <t>Cancelled PO</t>
  </si>
  <si>
    <t>Total Purchase Order Created</t>
  </si>
  <si>
    <t>Remarks</t>
  </si>
  <si>
    <t>JANUARY</t>
  </si>
  <si>
    <t>GUESS COST SAVINGS 2026</t>
  </si>
  <si>
    <t>difference</t>
  </si>
  <si>
    <t>VIVIAMO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</si>
</sst>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mmm\ dd"/>
    <numFmt numFmtId="165" formatCode="mm/dd/yy;@"/>
    <numFmt numFmtId="166" formatCode="[$-409]d\-mmm;@"/>
    <numFmt numFmtId="167" formatCode="#,##0.0000"/>
    <numFmt numFmtId="168" formatCode="0;[Red]0"/>
    <numFmt numFmtId="169" formatCode="_-* #,##0.00_-;\-* #,##0.00_-;_-* &quot;-&quot;??_-;_-@_-"/>
    <numFmt numFmtId="170" formatCode="[$-409]mmm\-yy;@"/>
    <numFmt numFmtId="171" formatCode="_(* #,##0.000_);_(* \(#,##0.000\);_(* &quot;-&quot;??_);_(@_)"/>
    <numFmt numFmtId="172" formatCode="[$-409]d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1">
    <xf numFmtId="0" fontId="0" fillId="0" borderId="0" xfId="0"/>
    <xf numFmtId="164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43" fontId="4" fillId="2" borderId="1" xfId="0" applyNumberFormat="1" applyFont="1" applyFill="1" applyBorder="1" applyAlignment="1">
      <alignment horizontal="center" vertical="center" wrapText="1"/>
    </xf>
    <xf numFmtId="37" fontId="4" fillId="0" borderId="1" xfId="0" applyNumberFormat="1" applyFont="1" applyBorder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4" fillId="0" borderId="0" xfId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  <xf numFmtId="4" fontId="4" fillId="0" borderId="0" xfId="1" applyNumberFormat="1" applyFont="1" applyAlignment="1">
      <alignment horizontal="center" vertical="center"/>
    </xf>
    <xf numFmtId="43" fontId="4" fillId="0" borderId="0" xfId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3" fontId="6" fillId="0" borderId="0" xfId="1" applyFont="1" applyAlignment="1">
      <alignment horizontal="center" vertical="center"/>
    </xf>
    <xf numFmtId="4" fontId="6" fillId="0" borderId="0" xfId="1" applyNumberFormat="1" applyFont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8" fontId="7" fillId="3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9" fontId="4" fillId="0" borderId="0" xfId="0" applyNumberFormat="1" applyFont="1" applyAlignment="1">
      <alignment horizontal="center" vertical="center" wrapText="1"/>
    </xf>
    <xf numFmtId="167" fontId="7" fillId="0" borderId="0" xfId="1" applyNumberFormat="1" applyFont="1" applyFill="1" applyBorder="1" applyAlignment="1">
      <alignment horizontal="center" vertical="center"/>
    </xf>
    <xf numFmtId="4" fontId="7" fillId="0" borderId="0" xfId="1" applyNumberFormat="1" applyFont="1" applyFill="1" applyBorder="1" applyAlignment="1">
      <alignment horizontal="center" vertical="center"/>
    </xf>
    <xf numFmtId="43" fontId="7" fillId="0" borderId="0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8" fontId="4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67" fontId="4" fillId="5" borderId="2" xfId="1" applyNumberFormat="1" applyFont="1" applyFill="1" applyBorder="1" applyAlignment="1">
      <alignment horizontal="center" vertical="center" wrapText="1"/>
    </xf>
    <xf numFmtId="4" fontId="4" fillId="5" borderId="2" xfId="1" applyNumberFormat="1" applyFont="1" applyFill="1" applyBorder="1" applyAlignment="1">
      <alignment horizontal="center" vertical="center" wrapText="1"/>
    </xf>
    <xf numFmtId="43" fontId="4" fillId="5" borderId="2" xfId="1" applyFont="1" applyFill="1" applyBorder="1" applyAlignment="1">
      <alignment horizontal="center" vertical="center" wrapText="1"/>
    </xf>
    <xf numFmtId="166" fontId="4" fillId="5" borderId="2" xfId="0" applyNumberFormat="1" applyFont="1" applyFill="1" applyBorder="1" applyAlignment="1">
      <alignment horizontal="center" vertical="center" wrapText="1"/>
    </xf>
    <xf numFmtId="37" fontId="4" fillId="0" borderId="2" xfId="0" applyNumberFormat="1" applyFont="1" applyBorder="1" applyAlignment="1">
      <alignment horizontal="center" vertical="center"/>
    </xf>
    <xf numFmtId="43" fontId="4" fillId="6" borderId="2" xfId="1" applyFont="1" applyFill="1" applyBorder="1" applyAlignment="1">
      <alignment horizontal="center" vertical="center"/>
    </xf>
    <xf numFmtId="43" fontId="4" fillId="6" borderId="2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7" fontId="8" fillId="0" borderId="1" xfId="1" applyNumberFormat="1" applyFont="1" applyBorder="1" applyAlignment="1">
      <alignment horizontal="center" vertical="center"/>
    </xf>
    <xf numFmtId="4" fontId="8" fillId="0" borderId="1" xfId="1" applyNumberFormat="1" applyFont="1" applyBorder="1" applyAlignment="1">
      <alignment horizontal="center" vertical="center"/>
    </xf>
    <xf numFmtId="43" fontId="8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1" fontId="8" fillId="0" borderId="1" xfId="1" applyNumberFormat="1" applyFont="1" applyBorder="1" applyAlignment="1">
      <alignment horizontal="center" vertical="center"/>
    </xf>
    <xf numFmtId="171" fontId="8" fillId="0" borderId="1" xfId="0" applyNumberFormat="1" applyFont="1" applyBorder="1" applyAlignment="1">
      <alignment horizontal="center" vertical="center"/>
    </xf>
    <xf numFmtId="0" fontId="9" fillId="3" borderId="0" xfId="0" applyFont="1" applyFill="1"/>
    <xf numFmtId="0" fontId="6" fillId="3" borderId="0" xfId="0" applyFont="1" applyFill="1"/>
    <xf numFmtId="0" fontId="4" fillId="3" borderId="0" xfId="0" applyFont="1" applyFill="1"/>
    <xf numFmtId="172" fontId="5" fillId="3" borderId="0" xfId="0" applyNumberFormat="1" applyFont="1" applyFill="1" applyAlignment="1">
      <alignment horizontal="left"/>
    </xf>
    <xf numFmtId="0" fontId="10" fillId="3" borderId="0" xfId="0" applyFont="1" applyFill="1"/>
    <xf numFmtId="0" fontId="6" fillId="0" borderId="0" xfId="0" applyFont="1"/>
    <xf numFmtId="0" fontId="4" fillId="0" borderId="0" xfId="0" applyFont="1" applyAlignment="1">
      <alignment horizontal="center"/>
    </xf>
    <xf numFmtId="0" fontId="10" fillId="8" borderId="1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37" fontId="4" fillId="2" borderId="1" xfId="0" applyNumberFormat="1" applyFont="1" applyFill="1" applyBorder="1" applyAlignment="1">
      <alignment horizontal="center" vertical="center"/>
    </xf>
    <xf numFmtId="37" fontId="5" fillId="2" borderId="1" xfId="0" applyNumberFormat="1" applyFont="1" applyFill="1" applyBorder="1" applyAlignment="1">
      <alignment horizontal="center" vertical="center" wrapText="1"/>
    </xf>
    <xf numFmtId="9" fontId="4" fillId="0" borderId="0" xfId="2" applyFont="1" applyAlignment="1">
      <alignment horizontal="center"/>
    </xf>
    <xf numFmtId="0" fontId="11" fillId="0" borderId="0" xfId="0" applyFont="1" applyAlignment="1">
      <alignment vertical="center"/>
    </xf>
    <xf numFmtId="43" fontId="0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  <xf numFmtId="43" fontId="12" fillId="0" borderId="0" xfId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3" fontId="13" fillId="0" borderId="0" xfId="1" applyFont="1" applyBorder="1" applyAlignment="1">
      <alignment horizontal="left" vertical="center"/>
    </xf>
    <xf numFmtId="43" fontId="14" fillId="0" borderId="0" xfId="1" applyFont="1" applyBorder="1" applyAlignment="1">
      <alignment horizontal="left" vertical="center"/>
    </xf>
    <xf numFmtId="43" fontId="15" fillId="0" borderId="0" xfId="1" applyFont="1" applyAlignment="1">
      <alignment horizontal="left" vertical="center"/>
    </xf>
    <xf numFmtId="17" fontId="16" fillId="0" borderId="0" xfId="0" applyNumberFormat="1" applyFont="1" applyAlignment="1">
      <alignment horizontal="center" vertical="center"/>
    </xf>
    <xf numFmtId="43" fontId="16" fillId="0" borderId="0" xfId="1" applyFont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43" fontId="4" fillId="5" borderId="1" xfId="1" applyFont="1" applyFill="1" applyBorder="1" applyAlignment="1">
      <alignment horizontal="center" vertical="center" wrapText="1"/>
    </xf>
    <xf numFmtId="43" fontId="4" fillId="9" borderId="1" xfId="1" applyFont="1" applyFill="1" applyBorder="1" applyAlignment="1">
      <alignment horizontal="center" vertical="center"/>
    </xf>
    <xf numFmtId="43" fontId="4" fillId="9" borderId="1" xfId="1" applyFont="1" applyFill="1" applyBorder="1" applyAlignment="1">
      <alignment horizontal="center" vertical="center" wrapText="1"/>
    </xf>
    <xf numFmtId="10" fontId="17" fillId="0" borderId="0" xfId="2" applyNumberFormat="1" applyFont="1" applyAlignment="1">
      <alignment horizontal="left" vertical="center"/>
    </xf>
    <xf numFmtId="0" fontId="5" fillId="0" borderId="1" xfId="0" applyFont="1" applyBorder="1" applyAlignment="1">
      <alignment vertical="center"/>
    </xf>
    <xf numFmtId="43" fontId="0" fillId="0" borderId="1" xfId="1" applyFont="1" applyBorder="1" applyAlignment="1">
      <alignment horizontal="left" vertical="center"/>
    </xf>
    <xf numFmtId="10" fontId="0" fillId="0" borderId="0" xfId="2" applyNumberFormat="1" applyFont="1" applyAlignment="1">
      <alignment horizontal="left" vertical="center"/>
    </xf>
    <xf numFmtId="166" fontId="8" fillId="0" borderId="2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170" fontId="8" fillId="0" borderId="2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8" fontId="8" fillId="0" borderId="2" xfId="0" quotePrefix="1" applyNumberFormat="1" applyFont="1" applyBorder="1" applyAlignment="1">
      <alignment horizontal="center" vertical="center"/>
    </xf>
    <xf numFmtId="168" fontId="8" fillId="0" borderId="4" xfId="0" quotePrefix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NEW%20PURCHASING%20TEAM\PURCHASES\RO-PO%20MONITORING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2026"/>
      <sheetName val="FEB2026"/>
      <sheetName val="MAR2026"/>
      <sheetName val="APR2026"/>
      <sheetName val="MAY2026"/>
      <sheetName val="JUNE2026"/>
      <sheetName val="SUMMARY"/>
      <sheetName val="COST SAVINGS"/>
    </sheetNames>
    <sheetDataSet>
      <sheetData sheetId="0">
        <row r="2">
          <cell r="G2"/>
          <cell r="O2"/>
          <cell r="U2" t="str">
            <v>SERVED</v>
          </cell>
          <cell r="V2">
            <v>51</v>
          </cell>
        </row>
        <row r="3">
          <cell r="O3"/>
          <cell r="U3" t="str">
            <v>OPEN PR (processing)</v>
          </cell>
          <cell r="V3">
            <v>0</v>
          </cell>
        </row>
        <row r="4">
          <cell r="G4"/>
          <cell r="O4">
            <v>0</v>
          </cell>
          <cell r="U4" t="str">
            <v>PROCESSED (await for delivery)</v>
          </cell>
          <cell r="V4">
            <v>8</v>
          </cell>
          <cell r="W4"/>
        </row>
        <row r="5">
          <cell r="B5"/>
          <cell r="G5" t="str">
            <v xml:space="preserve">under CAPEX </v>
          </cell>
          <cell r="O5">
            <v>2510415.1</v>
          </cell>
          <cell r="U5" t="str">
            <v>CANCELLED PR/PO</v>
          </cell>
          <cell r="V5">
            <v>1</v>
          </cell>
        </row>
        <row r="6">
          <cell r="G6" t="str">
            <v>END USER/S</v>
          </cell>
          <cell r="O6" t="str">
            <v>AMOUNT</v>
          </cell>
          <cell r="V6" t="str">
            <v>ITEMS/SERVICES</v>
          </cell>
        </row>
        <row r="7">
          <cell r="G7" t="str">
            <v>HRD</v>
          </cell>
          <cell r="O7">
            <v>2079</v>
          </cell>
          <cell r="V7"/>
        </row>
        <row r="8">
          <cell r="G8"/>
          <cell r="O8">
            <v>20995</v>
          </cell>
          <cell r="V8"/>
        </row>
        <row r="9">
          <cell r="G9"/>
          <cell r="O9">
            <v>6741.4999999999991</v>
          </cell>
          <cell r="V9"/>
        </row>
        <row r="10">
          <cell r="G10"/>
          <cell r="O10">
            <v>8875</v>
          </cell>
          <cell r="V10"/>
        </row>
        <row r="11">
          <cell r="G11" t="str">
            <v>HRD</v>
          </cell>
          <cell r="O11">
            <v>1800</v>
          </cell>
          <cell r="V11"/>
        </row>
        <row r="12">
          <cell r="G12"/>
          <cell r="O12">
            <v>16898</v>
          </cell>
          <cell r="V12"/>
        </row>
        <row r="13">
          <cell r="G13" t="str">
            <v>NCCC MA-A</v>
          </cell>
          <cell r="O13">
            <v>71500</v>
          </cell>
          <cell r="V13"/>
        </row>
        <row r="14">
          <cell r="G14"/>
          <cell r="O14">
            <v>-500</v>
          </cell>
          <cell r="V14"/>
        </row>
        <row r="15">
          <cell r="G15" t="str">
            <v>SM LANANG</v>
          </cell>
          <cell r="O15">
            <v>58800</v>
          </cell>
          <cell r="V15"/>
        </row>
        <row r="16">
          <cell r="G16"/>
          <cell r="O16">
            <v>5880</v>
          </cell>
          <cell r="V16"/>
        </row>
        <row r="17">
          <cell r="G17"/>
          <cell r="O17">
            <v>1280</v>
          </cell>
          <cell r="V17"/>
        </row>
        <row r="18">
          <cell r="G18"/>
          <cell r="O18">
            <v>880</v>
          </cell>
          <cell r="V18"/>
        </row>
        <row r="19">
          <cell r="G19"/>
          <cell r="O19">
            <v>2250</v>
          </cell>
          <cell r="V19"/>
        </row>
        <row r="20">
          <cell r="G20"/>
          <cell r="O20">
            <v>600</v>
          </cell>
          <cell r="V20"/>
        </row>
        <row r="21">
          <cell r="G21" t="str">
            <v>SM LANANG</v>
          </cell>
          <cell r="O21">
            <v>38475</v>
          </cell>
          <cell r="V21"/>
        </row>
        <row r="22">
          <cell r="G22" t="str">
            <v>NCCC MA-A</v>
          </cell>
          <cell r="O22">
            <v>6700</v>
          </cell>
          <cell r="V22"/>
        </row>
        <row r="23">
          <cell r="G23"/>
          <cell r="O23">
            <v>6800</v>
          </cell>
          <cell r="V23"/>
        </row>
        <row r="24">
          <cell r="G24"/>
          <cell r="O24">
            <v>6200</v>
          </cell>
          <cell r="V24"/>
        </row>
        <row r="25">
          <cell r="G25"/>
          <cell r="O25">
            <v>6500</v>
          </cell>
          <cell r="V25"/>
        </row>
        <row r="26">
          <cell r="G26" t="str">
            <v>SM FAIRVIEW</v>
          </cell>
          <cell r="O26">
            <v>14676.48</v>
          </cell>
          <cell r="V26"/>
        </row>
        <row r="27">
          <cell r="G27"/>
          <cell r="O27">
            <v>6115.2</v>
          </cell>
          <cell r="V27"/>
        </row>
        <row r="28">
          <cell r="G28"/>
          <cell r="O28">
            <v>2500</v>
          </cell>
          <cell r="V28"/>
        </row>
        <row r="29">
          <cell r="G29"/>
          <cell r="O29">
            <v>-2291.6799999999998</v>
          </cell>
          <cell r="V29"/>
        </row>
        <row r="30">
          <cell r="G30" t="str">
            <v>SM LANANG</v>
          </cell>
          <cell r="O30">
            <v>281250</v>
          </cell>
          <cell r="V30"/>
        </row>
        <row r="31">
          <cell r="G31"/>
          <cell r="O31">
            <v>45000</v>
          </cell>
          <cell r="V31"/>
        </row>
        <row r="32">
          <cell r="G32"/>
          <cell r="O32">
            <v>-16250</v>
          </cell>
          <cell r="V32"/>
        </row>
        <row r="33">
          <cell r="G33" t="str">
            <v>ECOM</v>
          </cell>
          <cell r="O33">
            <v>17600</v>
          </cell>
          <cell r="V33"/>
        </row>
        <row r="34">
          <cell r="G34"/>
          <cell r="O34">
            <v>-400</v>
          </cell>
          <cell r="V34"/>
        </row>
        <row r="35">
          <cell r="G35" t="str">
            <v>WAREHOUSE</v>
          </cell>
          <cell r="O35">
            <v>22400</v>
          </cell>
          <cell r="V35"/>
        </row>
        <row r="36">
          <cell r="G36"/>
          <cell r="O36">
            <v>500</v>
          </cell>
          <cell r="V36"/>
        </row>
        <row r="37">
          <cell r="G37" t="str">
            <v>ENGINEERING</v>
          </cell>
          <cell r="O37">
            <v>30000</v>
          </cell>
          <cell r="V37"/>
        </row>
        <row r="38">
          <cell r="G38"/>
          <cell r="O38">
            <v>-750</v>
          </cell>
          <cell r="V38"/>
        </row>
        <row r="39">
          <cell r="G39" t="str">
            <v>ENGINEERING</v>
          </cell>
          <cell r="O39">
            <v>17500</v>
          </cell>
          <cell r="V39"/>
        </row>
        <row r="40">
          <cell r="G40" t="str">
            <v>ENGINEERING</v>
          </cell>
          <cell r="O40">
            <v>7600</v>
          </cell>
          <cell r="V40"/>
        </row>
        <row r="41">
          <cell r="G41" t="str">
            <v>SM LANANG</v>
          </cell>
          <cell r="O41">
            <v>85097.600000000006</v>
          </cell>
          <cell r="V41"/>
        </row>
        <row r="42">
          <cell r="G42"/>
          <cell r="O42">
            <v>54656</v>
          </cell>
          <cell r="V42"/>
        </row>
        <row r="43">
          <cell r="G43"/>
          <cell r="O43">
            <v>-10000</v>
          </cell>
          <cell r="V43"/>
        </row>
        <row r="44">
          <cell r="G44" t="str">
            <v>SM CEBU</v>
          </cell>
          <cell r="O44">
            <v>2100</v>
          </cell>
          <cell r="V44"/>
        </row>
        <row r="45">
          <cell r="G45" t="str">
            <v>AYALA CEBU</v>
          </cell>
          <cell r="O45">
            <v>2100</v>
          </cell>
          <cell r="V45"/>
        </row>
        <row r="46">
          <cell r="G46" t="str">
            <v>SM SEASIDE</v>
          </cell>
          <cell r="O46">
            <v>7000</v>
          </cell>
          <cell r="V46"/>
        </row>
        <row r="47">
          <cell r="G47" t="str">
            <v>THE OUTLET CEBU</v>
          </cell>
          <cell r="O47">
            <v>7000</v>
          </cell>
          <cell r="V47"/>
        </row>
        <row r="48">
          <cell r="G48" t="str">
            <v>ROBINSONS CEBU</v>
          </cell>
          <cell r="O48">
            <v>1100</v>
          </cell>
          <cell r="V48"/>
        </row>
        <row r="49">
          <cell r="G49"/>
          <cell r="O49">
            <v>35000</v>
          </cell>
          <cell r="V49"/>
        </row>
        <row r="50">
          <cell r="G50"/>
          <cell r="O50">
            <v>-800</v>
          </cell>
          <cell r="V50"/>
        </row>
        <row r="51">
          <cell r="G51" t="str">
            <v>ROBINSONS CEBU</v>
          </cell>
          <cell r="O51">
            <v>10000</v>
          </cell>
          <cell r="V51"/>
        </row>
        <row r="52">
          <cell r="G52" t="str">
            <v>SM ILOILO</v>
          </cell>
          <cell r="O52">
            <v>30000</v>
          </cell>
          <cell r="V52"/>
        </row>
        <row r="53">
          <cell r="G53"/>
          <cell r="O53">
            <v>5000</v>
          </cell>
          <cell r="V53"/>
        </row>
        <row r="54">
          <cell r="G54" t="str">
            <v>SM SORSOGON</v>
          </cell>
          <cell r="O54">
            <v>670</v>
          </cell>
          <cell r="V54"/>
        </row>
        <row r="55">
          <cell r="G55" t="str">
            <v>SM GRAND CENTRAL</v>
          </cell>
          <cell r="O55">
            <v>1005</v>
          </cell>
          <cell r="V55"/>
        </row>
        <row r="56">
          <cell r="G56" t="str">
            <v>SM BATAAN</v>
          </cell>
          <cell r="O56">
            <v>1340</v>
          </cell>
          <cell r="V56"/>
        </row>
        <row r="57">
          <cell r="G57" t="str">
            <v>AYALA FAIRVIEW</v>
          </cell>
          <cell r="O57">
            <v>335</v>
          </cell>
          <cell r="V57"/>
        </row>
        <row r="58">
          <cell r="G58" t="str">
            <v>NEWPORT</v>
          </cell>
          <cell r="O58">
            <v>1675</v>
          </cell>
          <cell r="V58"/>
        </row>
        <row r="59">
          <cell r="G59" t="str">
            <v>ROBINSONS PANGASINAN</v>
          </cell>
          <cell r="O59">
            <v>75000</v>
          </cell>
          <cell r="V59"/>
        </row>
        <row r="60">
          <cell r="G60"/>
          <cell r="O60">
            <v>5000</v>
          </cell>
          <cell r="V60"/>
        </row>
        <row r="61">
          <cell r="G61" t="str">
            <v>MERCHANDISING</v>
          </cell>
          <cell r="O61">
            <v>5000</v>
          </cell>
          <cell r="V61"/>
        </row>
        <row r="62">
          <cell r="G62" t="str">
            <v>SM FAIRVIEW</v>
          </cell>
          <cell r="O62">
            <v>1000</v>
          </cell>
          <cell r="V62"/>
        </row>
        <row r="63">
          <cell r="G63" t="str">
            <v>GLORIETTA; OKADA; ERMITA; SM CLARK; SM BAGUIO; SM CEBU</v>
          </cell>
          <cell r="O63">
            <v>30240</v>
          </cell>
          <cell r="V63"/>
        </row>
        <row r="64">
          <cell r="G64"/>
          <cell r="O64">
            <v>5000</v>
          </cell>
          <cell r="V64"/>
        </row>
        <row r="65">
          <cell r="G65"/>
          <cell r="O65">
            <v>-540</v>
          </cell>
          <cell r="V65"/>
        </row>
        <row r="66">
          <cell r="G66" t="str">
            <v>HRD</v>
          </cell>
          <cell r="O66">
            <v>7381</v>
          </cell>
          <cell r="V66"/>
        </row>
        <row r="67">
          <cell r="G67" t="str">
            <v>HRD</v>
          </cell>
          <cell r="O67">
            <v>35520</v>
          </cell>
          <cell r="V67"/>
        </row>
        <row r="68">
          <cell r="G68" t="str">
            <v>HRD</v>
          </cell>
          <cell r="O68">
            <v>14800</v>
          </cell>
          <cell r="V68"/>
        </row>
        <row r="69">
          <cell r="G69" t="str">
            <v>HRD</v>
          </cell>
          <cell r="O69">
            <v>5865</v>
          </cell>
          <cell r="V69"/>
        </row>
        <row r="70">
          <cell r="G70" t="str">
            <v>HRD</v>
          </cell>
          <cell r="O70">
            <v>3575</v>
          </cell>
          <cell r="V70"/>
        </row>
        <row r="71">
          <cell r="G71" t="str">
            <v>HRD</v>
          </cell>
          <cell r="O71">
            <v>6200</v>
          </cell>
          <cell r="V71"/>
        </row>
        <row r="72">
          <cell r="G72" t="str">
            <v>HRD</v>
          </cell>
          <cell r="O72">
            <v>6200</v>
          </cell>
          <cell r="V72"/>
        </row>
        <row r="73">
          <cell r="G73" t="str">
            <v>HRD</v>
          </cell>
          <cell r="O73">
            <v>1800</v>
          </cell>
          <cell r="V73"/>
        </row>
        <row r="74">
          <cell r="G74" t="str">
            <v>HRD</v>
          </cell>
          <cell r="O74">
            <v>1113</v>
          </cell>
          <cell r="V74"/>
        </row>
        <row r="75">
          <cell r="G75" t="str">
            <v>HRD</v>
          </cell>
          <cell r="O75">
            <v>11880</v>
          </cell>
          <cell r="V75"/>
        </row>
        <row r="76">
          <cell r="G76" t="str">
            <v>SM LANANG</v>
          </cell>
          <cell r="O76">
            <v>86000</v>
          </cell>
          <cell r="V76"/>
        </row>
        <row r="77">
          <cell r="G77"/>
          <cell r="O77">
            <v>-1000</v>
          </cell>
          <cell r="V77"/>
        </row>
        <row r="78">
          <cell r="G78" t="str">
            <v>SM CLARK</v>
          </cell>
          <cell r="O78">
            <v>41500</v>
          </cell>
          <cell r="V78"/>
        </row>
        <row r="79">
          <cell r="G79" t="str">
            <v>ROBINSONS ERMITA</v>
          </cell>
          <cell r="O79">
            <v>12020</v>
          </cell>
          <cell r="V79"/>
        </row>
        <row r="80">
          <cell r="G80"/>
          <cell r="O80">
            <v>14400</v>
          </cell>
          <cell r="V80"/>
        </row>
        <row r="81">
          <cell r="G81" t="str">
            <v>SM CEBU</v>
          </cell>
          <cell r="O81">
            <v>2080</v>
          </cell>
          <cell r="V81"/>
        </row>
        <row r="82">
          <cell r="G82"/>
          <cell r="O82">
            <v>1080</v>
          </cell>
          <cell r="V82"/>
        </row>
        <row r="83">
          <cell r="G83" t="str">
            <v>GLORIETTA</v>
          </cell>
          <cell r="O83">
            <v>15740</v>
          </cell>
          <cell r="V83"/>
        </row>
        <row r="84">
          <cell r="G84"/>
          <cell r="O84">
            <v>5600</v>
          </cell>
          <cell r="V84"/>
        </row>
        <row r="85">
          <cell r="G85" t="str">
            <v>OKADA</v>
          </cell>
          <cell r="O85">
            <v>4200</v>
          </cell>
          <cell r="V85"/>
        </row>
        <row r="86">
          <cell r="G86"/>
          <cell r="O86">
            <v>4360</v>
          </cell>
          <cell r="V86"/>
        </row>
        <row r="87">
          <cell r="G87" t="str">
            <v>SM BAGUIO</v>
          </cell>
          <cell r="O87">
            <v>7200</v>
          </cell>
          <cell r="V87"/>
        </row>
        <row r="88">
          <cell r="G88"/>
          <cell r="O88">
            <v>-40180</v>
          </cell>
          <cell r="V88"/>
        </row>
        <row r="89">
          <cell r="G89" t="str">
            <v>HRD</v>
          </cell>
          <cell r="O89">
            <v>1800</v>
          </cell>
          <cell r="V89"/>
        </row>
        <row r="90">
          <cell r="G90" t="str">
            <v>ACCOUNTING</v>
          </cell>
          <cell r="O90">
            <v>1800</v>
          </cell>
          <cell r="V90"/>
        </row>
        <row r="91">
          <cell r="G91" t="str">
            <v>AYALA CEBU</v>
          </cell>
          <cell r="O91">
            <v>1000</v>
          </cell>
          <cell r="V91"/>
        </row>
        <row r="92">
          <cell r="G92" t="str">
            <v>SM SOUTHMALL</v>
          </cell>
          <cell r="O92">
            <v>1000</v>
          </cell>
          <cell r="V92"/>
        </row>
        <row r="93">
          <cell r="G93" t="str">
            <v>WAREHOUSE</v>
          </cell>
          <cell r="O93">
            <v>3000</v>
          </cell>
          <cell r="V93"/>
        </row>
        <row r="94">
          <cell r="G94" t="str">
            <v>NCCC MA-A</v>
          </cell>
          <cell r="O94">
            <v>3300</v>
          </cell>
          <cell r="V94"/>
        </row>
        <row r="95">
          <cell r="G95" t="str">
            <v>IMPORT</v>
          </cell>
          <cell r="O95">
            <v>2400</v>
          </cell>
          <cell r="V95"/>
        </row>
        <row r="96">
          <cell r="G96" t="str">
            <v>AYALA GLORIETTA</v>
          </cell>
          <cell r="O96">
            <v>1020</v>
          </cell>
          <cell r="V96"/>
        </row>
        <row r="97">
          <cell r="G97" t="str">
            <v>AYALA FAIRVIEW</v>
          </cell>
          <cell r="O97">
            <v>340</v>
          </cell>
          <cell r="V97"/>
        </row>
        <row r="98">
          <cell r="G98" t="str">
            <v>SM STA ROSA</v>
          </cell>
          <cell r="O98">
            <v>1360</v>
          </cell>
          <cell r="V98"/>
        </row>
        <row r="99">
          <cell r="G99" t="str">
            <v>SM NORTH EDSA</v>
          </cell>
          <cell r="O99">
            <v>1020</v>
          </cell>
          <cell r="V99"/>
        </row>
        <row r="100">
          <cell r="G100" t="str">
            <v>STA LUCIA</v>
          </cell>
          <cell r="O100">
            <v>680</v>
          </cell>
          <cell r="V100"/>
        </row>
        <row r="101">
          <cell r="G101" t="str">
            <v>SM NORTH EDSA</v>
          </cell>
          <cell r="O101">
            <v>1200</v>
          </cell>
          <cell r="V101"/>
        </row>
        <row r="102">
          <cell r="G102"/>
          <cell r="O102">
            <v>250</v>
          </cell>
          <cell r="V102"/>
        </row>
        <row r="103">
          <cell r="G103"/>
          <cell r="O103">
            <v>250</v>
          </cell>
          <cell r="V103"/>
        </row>
        <row r="104">
          <cell r="G104"/>
          <cell r="O104">
            <v>250</v>
          </cell>
          <cell r="V104"/>
        </row>
        <row r="105">
          <cell r="G105"/>
          <cell r="O105">
            <v>250</v>
          </cell>
          <cell r="V105"/>
        </row>
        <row r="106">
          <cell r="G106" t="str">
            <v>MARKETING</v>
          </cell>
          <cell r="O106">
            <v>2250</v>
          </cell>
          <cell r="V106"/>
        </row>
        <row r="107">
          <cell r="G107"/>
          <cell r="O107">
            <v>2250</v>
          </cell>
          <cell r="V107"/>
        </row>
        <row r="108">
          <cell r="G108"/>
          <cell r="O108">
            <v>2250</v>
          </cell>
          <cell r="V108"/>
        </row>
        <row r="109">
          <cell r="G109" t="str">
            <v>AYALA GLORIETTA</v>
          </cell>
          <cell r="O109">
            <v>1000</v>
          </cell>
          <cell r="V109"/>
        </row>
        <row r="110">
          <cell r="G110" t="str">
            <v>HRD</v>
          </cell>
          <cell r="O110">
            <v>500</v>
          </cell>
          <cell r="V110"/>
        </row>
        <row r="111">
          <cell r="G111"/>
          <cell r="O111">
            <v>250</v>
          </cell>
          <cell r="V111"/>
        </row>
        <row r="112">
          <cell r="G112"/>
          <cell r="O112">
            <v>250</v>
          </cell>
          <cell r="V112"/>
        </row>
        <row r="113">
          <cell r="G113"/>
          <cell r="O113">
            <v>250</v>
          </cell>
          <cell r="V113"/>
        </row>
        <row r="114">
          <cell r="G114" t="str">
            <v>ACCOUNTING</v>
          </cell>
          <cell r="O114">
            <v>2200</v>
          </cell>
          <cell r="V114"/>
        </row>
        <row r="115">
          <cell r="G115" t="str">
            <v>QUALITY CONTROL</v>
          </cell>
          <cell r="O115">
            <v>1000</v>
          </cell>
          <cell r="V115"/>
        </row>
        <row r="116">
          <cell r="G116"/>
          <cell r="O116">
            <v>2200</v>
          </cell>
          <cell r="V116"/>
        </row>
        <row r="117">
          <cell r="G117" t="str">
            <v>ACCOUNTING</v>
          </cell>
          <cell r="O117">
            <v>7998</v>
          </cell>
          <cell r="V117"/>
        </row>
        <row r="118">
          <cell r="G118"/>
          <cell r="O118">
            <v>11088</v>
          </cell>
          <cell r="V118"/>
        </row>
        <row r="119">
          <cell r="G119" t="str">
            <v>ACCOUNTING</v>
          </cell>
          <cell r="O119">
            <v>11088</v>
          </cell>
          <cell r="V119"/>
        </row>
        <row r="120">
          <cell r="G120" t="str">
            <v>HRD</v>
          </cell>
          <cell r="O120">
            <v>39775</v>
          </cell>
          <cell r="V120"/>
        </row>
        <row r="121">
          <cell r="G121" t="str">
            <v>SALES</v>
          </cell>
          <cell r="O121">
            <v>3000</v>
          </cell>
          <cell r="V121"/>
        </row>
        <row r="122">
          <cell r="G122" t="str">
            <v>AYALA CENTRIO CDO</v>
          </cell>
          <cell r="O122">
            <v>10936.039799999999</v>
          </cell>
          <cell r="V122"/>
        </row>
        <row r="123">
          <cell r="G123"/>
          <cell r="O123">
            <v>5271.17</v>
          </cell>
          <cell r="V123"/>
        </row>
        <row r="124">
          <cell r="G124"/>
          <cell r="O124">
            <v>20000</v>
          </cell>
          <cell r="V124"/>
        </row>
        <row r="125">
          <cell r="G125"/>
          <cell r="O125">
            <v>-1207.21</v>
          </cell>
          <cell r="V125"/>
        </row>
        <row r="126">
          <cell r="G126" t="str">
            <v>GAISANO TAGUM</v>
          </cell>
          <cell r="O126">
            <v>4265.34</v>
          </cell>
          <cell r="V126"/>
        </row>
        <row r="127">
          <cell r="G127"/>
          <cell r="O127">
            <v>3654.87</v>
          </cell>
          <cell r="V127"/>
        </row>
        <row r="128">
          <cell r="G128"/>
          <cell r="O128">
            <v>5529.6</v>
          </cell>
          <cell r="V128"/>
        </row>
        <row r="129">
          <cell r="G129"/>
          <cell r="O129">
            <v>25000</v>
          </cell>
          <cell r="V129"/>
        </row>
        <row r="130">
          <cell r="G130"/>
          <cell r="O130">
            <v>-2449.81</v>
          </cell>
          <cell r="V130"/>
        </row>
        <row r="131">
          <cell r="G131" t="str">
            <v>MARKET MARKET</v>
          </cell>
          <cell r="O131">
            <v>23250</v>
          </cell>
          <cell r="V131"/>
        </row>
        <row r="132">
          <cell r="G132"/>
          <cell r="O132">
            <v>3500</v>
          </cell>
          <cell r="V132"/>
        </row>
        <row r="133">
          <cell r="G133"/>
          <cell r="O133">
            <v>-750</v>
          </cell>
          <cell r="V133"/>
        </row>
        <row r="134">
          <cell r="G134" t="str">
            <v>RIVERBANKS</v>
          </cell>
          <cell r="O134">
            <v>6609.5999999999995</v>
          </cell>
          <cell r="V134"/>
        </row>
        <row r="135">
          <cell r="G135"/>
          <cell r="O135">
            <v>8241.6</v>
          </cell>
          <cell r="V135"/>
        </row>
        <row r="136">
          <cell r="G136"/>
          <cell r="O136">
            <v>-351.2</v>
          </cell>
          <cell r="V136"/>
        </row>
        <row r="137">
          <cell r="G137" t="str">
            <v>ACIENDA DESIGNER</v>
          </cell>
          <cell r="O137">
            <v>10948</v>
          </cell>
          <cell r="V137"/>
        </row>
        <row r="138">
          <cell r="G138"/>
          <cell r="O138">
            <v>8655.41</v>
          </cell>
          <cell r="V138"/>
        </row>
        <row r="139">
          <cell r="G139"/>
          <cell r="O139">
            <v>-603.41</v>
          </cell>
          <cell r="V139"/>
        </row>
        <row r="140">
          <cell r="G140" t="str">
            <v>LUCKY CHINA TOWN</v>
          </cell>
          <cell r="O140">
            <v>11517.4902</v>
          </cell>
          <cell r="V140"/>
        </row>
        <row r="141">
          <cell r="G141"/>
          <cell r="O141">
            <v>3086</v>
          </cell>
          <cell r="V141"/>
        </row>
        <row r="142">
          <cell r="G142"/>
          <cell r="O142">
            <v>2193.73</v>
          </cell>
          <cell r="V142"/>
        </row>
        <row r="143">
          <cell r="G143"/>
          <cell r="O143">
            <v>-797.22</v>
          </cell>
          <cell r="V143"/>
        </row>
        <row r="144">
          <cell r="G144" t="str">
            <v>ALIMALL</v>
          </cell>
          <cell r="O144">
            <v>6222.64</v>
          </cell>
          <cell r="V144"/>
        </row>
        <row r="145">
          <cell r="G145"/>
          <cell r="O145">
            <v>13112.9</v>
          </cell>
          <cell r="V145"/>
        </row>
        <row r="146">
          <cell r="G146"/>
          <cell r="O146">
            <v>3816.08</v>
          </cell>
          <cell r="V146"/>
        </row>
        <row r="147">
          <cell r="G147"/>
          <cell r="O147">
            <v>7344</v>
          </cell>
          <cell r="V147"/>
        </row>
        <row r="148">
          <cell r="G148"/>
          <cell r="O148">
            <v>-495.62</v>
          </cell>
          <cell r="V148"/>
        </row>
        <row r="149">
          <cell r="G149" t="str">
            <v>MARKETING</v>
          </cell>
          <cell r="O149">
            <v>580450</v>
          </cell>
          <cell r="V149"/>
        </row>
        <row r="150">
          <cell r="G150"/>
          <cell r="O150">
            <v>-2350</v>
          </cell>
          <cell r="V150"/>
        </row>
        <row r="151">
          <cell r="G151" t="str">
            <v>IT</v>
          </cell>
          <cell r="O151">
            <v>12250</v>
          </cell>
          <cell r="V151"/>
        </row>
        <row r="152">
          <cell r="G152" t="str">
            <v>SM LANANG</v>
          </cell>
          <cell r="O152">
            <v>15840</v>
          </cell>
          <cell r="V152"/>
        </row>
        <row r="153">
          <cell r="G153"/>
          <cell r="O153">
            <v>16000</v>
          </cell>
          <cell r="V153"/>
        </row>
        <row r="154">
          <cell r="G154"/>
          <cell r="O154">
            <v>7500</v>
          </cell>
          <cell r="V154"/>
        </row>
        <row r="155">
          <cell r="G155"/>
          <cell r="O155">
            <v>2800</v>
          </cell>
          <cell r="V155"/>
        </row>
        <row r="156">
          <cell r="G156"/>
          <cell r="O156">
            <v>5600</v>
          </cell>
          <cell r="V156"/>
        </row>
        <row r="157">
          <cell r="G157"/>
          <cell r="O157">
            <v>21800</v>
          </cell>
          <cell r="V157"/>
        </row>
        <row r="158">
          <cell r="G158"/>
          <cell r="O158">
            <v>-1540</v>
          </cell>
          <cell r="V158"/>
        </row>
        <row r="159">
          <cell r="G159" t="str">
            <v>SM LANANG</v>
          </cell>
          <cell r="O159">
            <v>58000</v>
          </cell>
          <cell r="V159"/>
        </row>
        <row r="160">
          <cell r="G160"/>
          <cell r="O160">
            <v>7000</v>
          </cell>
          <cell r="V160"/>
        </row>
        <row r="161">
          <cell r="G161" t="str">
            <v>SM PAMPANGA</v>
          </cell>
          <cell r="O161">
            <v>5800</v>
          </cell>
          <cell r="V161"/>
        </row>
        <row r="162">
          <cell r="G162" t="str">
            <v>ECOM WHSE</v>
          </cell>
          <cell r="O162">
            <v>3200</v>
          </cell>
          <cell r="V162"/>
        </row>
        <row r="163">
          <cell r="G163"/>
          <cell r="O163">
            <v>16250</v>
          </cell>
          <cell r="V163"/>
        </row>
        <row r="164">
          <cell r="G164"/>
          <cell r="O164">
            <v>21700</v>
          </cell>
          <cell r="V164"/>
        </row>
        <row r="165">
          <cell r="G165"/>
          <cell r="O165">
            <v>13950</v>
          </cell>
          <cell r="V165"/>
        </row>
        <row r="166">
          <cell r="G166"/>
          <cell r="O166">
            <v>-350</v>
          </cell>
          <cell r="V166"/>
        </row>
        <row r="167">
          <cell r="G167" t="str">
            <v>SM CLARK</v>
          </cell>
          <cell r="O167">
            <v>7800</v>
          </cell>
          <cell r="V167"/>
        </row>
        <row r="168">
          <cell r="G168" t="str">
            <v>ACIENDA DESIGNER</v>
          </cell>
          <cell r="O168">
            <v>7800</v>
          </cell>
          <cell r="V168"/>
        </row>
        <row r="169">
          <cell r="G169" t="str">
            <v>SM BACOOR</v>
          </cell>
          <cell r="O169">
            <v>7800</v>
          </cell>
          <cell r="V169"/>
        </row>
        <row r="170">
          <cell r="G170" t="str">
            <v>OUTLET LIPA</v>
          </cell>
          <cell r="O170">
            <v>7800</v>
          </cell>
          <cell r="V170"/>
        </row>
        <row r="171">
          <cell r="G171" t="str">
            <v>SM SOUTHMALL</v>
          </cell>
          <cell r="O171">
            <v>7800</v>
          </cell>
          <cell r="V171"/>
        </row>
        <row r="172">
          <cell r="G172"/>
          <cell r="O172">
            <v>-500</v>
          </cell>
          <cell r="V172"/>
        </row>
        <row r="173">
          <cell r="G173" t="str">
            <v>VISUAL</v>
          </cell>
          <cell r="O173">
            <v>2000</v>
          </cell>
          <cell r="V173"/>
        </row>
        <row r="174">
          <cell r="G174" t="str">
            <v>PURCHASING</v>
          </cell>
          <cell r="O174">
            <v>1800</v>
          </cell>
          <cell r="V174"/>
        </row>
        <row r="175">
          <cell r="G175" t="str">
            <v>KCC COTABATO</v>
          </cell>
          <cell r="O175">
            <v>24180</v>
          </cell>
          <cell r="V175"/>
        </row>
        <row r="176">
          <cell r="G176"/>
          <cell r="O176">
            <v>25000</v>
          </cell>
          <cell r="V176"/>
        </row>
        <row r="177">
          <cell r="G177"/>
          <cell r="O177">
            <v>-1680</v>
          </cell>
          <cell r="V177"/>
        </row>
        <row r="178">
          <cell r="G178" t="str">
            <v>KCC ZAMBOANGA</v>
          </cell>
          <cell r="O178">
            <v>10780</v>
          </cell>
          <cell r="V178"/>
        </row>
        <row r="179">
          <cell r="G179"/>
          <cell r="O179">
            <v>3822</v>
          </cell>
          <cell r="V179"/>
        </row>
        <row r="180">
          <cell r="G180"/>
          <cell r="O180">
            <v>25000</v>
          </cell>
          <cell r="V180"/>
        </row>
        <row r="181">
          <cell r="G181"/>
          <cell r="O181">
            <v>-2102</v>
          </cell>
          <cell r="V181"/>
        </row>
        <row r="182">
          <cell r="G182" t="str">
            <v>ENGINEERING</v>
          </cell>
          <cell r="O182">
            <v>11500</v>
          </cell>
          <cell r="V182"/>
        </row>
        <row r="183">
          <cell r="G183" t="str">
            <v>ENGINEERING</v>
          </cell>
          <cell r="O183">
            <v>3965</v>
          </cell>
          <cell r="V183"/>
        </row>
        <row r="184">
          <cell r="G184"/>
          <cell r="O184">
            <v>-65</v>
          </cell>
          <cell r="V184"/>
        </row>
        <row r="185">
          <cell r="G185" t="str">
            <v>SALES</v>
          </cell>
          <cell r="O185">
            <v>3000</v>
          </cell>
          <cell r="V185"/>
        </row>
        <row r="186">
          <cell r="G186" t="str">
            <v>WAREHOUSE</v>
          </cell>
          <cell r="O186">
            <v>6000</v>
          </cell>
          <cell r="V186"/>
        </row>
        <row r="187">
          <cell r="G187"/>
          <cell r="O187">
            <v>1000</v>
          </cell>
          <cell r="V187"/>
        </row>
        <row r="188">
          <cell r="G188"/>
          <cell r="O188">
            <v>-470</v>
          </cell>
          <cell r="V188"/>
        </row>
        <row r="189">
          <cell r="G189"/>
          <cell r="O189"/>
          <cell r="V189"/>
        </row>
        <row r="190">
          <cell r="G190"/>
          <cell r="O190"/>
          <cell r="V190"/>
        </row>
        <row r="191">
          <cell r="G191"/>
          <cell r="O191"/>
          <cell r="V191"/>
        </row>
        <row r="192">
          <cell r="G192"/>
          <cell r="O192"/>
          <cell r="V192"/>
        </row>
        <row r="193">
          <cell r="G193"/>
          <cell r="O193"/>
          <cell r="V193"/>
        </row>
        <row r="194">
          <cell r="G194"/>
          <cell r="O194"/>
          <cell r="V194"/>
        </row>
        <row r="1046346">
          <cell r="O1046346"/>
        </row>
        <row r="1046644">
          <cell r="G1046644"/>
          <cell r="O1046644"/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zoomScale="70" zoomScaleNormal="70" workbookViewId="0">
      <selection activeCell="T6" sqref="T6:T7"/>
    </sheetView>
  </sheetViews>
  <sheetFormatPr defaultRowHeight="15" x14ac:dyDescent="0.25"/>
  <cols>
    <col min="1" max="1" width="35.85546875" bestFit="1" customWidth="1"/>
    <col min="2" max="2" width="13.140625" bestFit="1" customWidth="1"/>
    <col min="3" max="3" width="14.85546875" bestFit="1" customWidth="1"/>
    <col min="4" max="4" width="14.5703125" bestFit="1" customWidth="1"/>
    <col min="5" max="5" width="12" bestFit="1" customWidth="1"/>
    <col min="6" max="6" width="13.5703125" bestFit="1" customWidth="1"/>
    <col min="7" max="7" width="17.7109375" bestFit="1" customWidth="1"/>
    <col min="8" max="8" width="24" bestFit="1" customWidth="1"/>
    <col min="9" max="9" width="8.28515625" bestFit="1" customWidth="1"/>
    <col min="10" max="10" width="12.85546875" bestFit="1" customWidth="1"/>
    <col min="11" max="11" width="12.42578125" bestFit="1" customWidth="1"/>
    <col min="12" max="13" width="6.7109375" bestFit="1" customWidth="1"/>
    <col min="14" max="14" width="10.5703125" bestFit="1" customWidth="1"/>
    <col min="15" max="16" width="11.7109375" bestFit="1" customWidth="1"/>
    <col min="17" max="17" width="13" bestFit="1" customWidth="1"/>
    <col min="18" max="18" width="12" bestFit="1" customWidth="1"/>
    <col min="19" max="19" width="13" bestFit="1" customWidth="1"/>
    <col min="20" max="20" width="22.5703125" bestFit="1" customWidth="1"/>
    <col min="21" max="21" width="13.140625" bestFit="1" customWidth="1"/>
    <col min="22" max="22" width="21.5703125" bestFit="1" customWidth="1"/>
    <col min="23" max="23" width="22.5703125" bestFit="1" customWidth="1"/>
    <col min="24" max="24" width="17.42578125" bestFit="1" customWidth="1"/>
  </cols>
  <sheetData>
    <row r="1" spans="1:24" ht="15.75" x14ac:dyDescent="0.25">
      <c r="A1" s="1" t="s">
        <v>0</v>
      </c>
      <c r="B1" s="2"/>
      <c r="C1" s="3"/>
      <c r="D1" s="4"/>
      <c r="E1" s="87"/>
      <c r="F1" s="88"/>
      <c r="G1" s="88"/>
      <c r="H1" s="88"/>
      <c r="I1" s="88"/>
      <c r="J1" s="88"/>
      <c r="K1" s="88"/>
      <c r="L1" s="88"/>
      <c r="M1" s="88"/>
      <c r="N1" s="89"/>
      <c r="O1" s="89"/>
      <c r="P1" s="89"/>
      <c r="Q1" s="88"/>
      <c r="R1" s="5"/>
      <c r="S1" s="2"/>
      <c r="T1" s="3"/>
      <c r="U1" s="6" t="s">
        <v>1</v>
      </c>
      <c r="V1" s="7">
        <f>COUNTIF(U$6:U$6997,"SERVED")</f>
        <v>0</v>
      </c>
      <c r="W1" s="8"/>
      <c r="X1" s="8"/>
    </row>
    <row r="2" spans="1:24" ht="45" x14ac:dyDescent="0.25">
      <c r="A2" s="1" t="s">
        <v>2</v>
      </c>
      <c r="B2" s="2"/>
      <c r="C2" s="3"/>
      <c r="D2" s="4"/>
      <c r="E2" s="2"/>
      <c r="F2" s="3"/>
      <c r="G2" s="3"/>
      <c r="H2" s="9"/>
      <c r="I2" s="9"/>
      <c r="J2" s="10"/>
      <c r="K2" s="10"/>
      <c r="L2" s="3"/>
      <c r="M2" s="3"/>
      <c r="N2" s="11"/>
      <c r="O2" s="12"/>
      <c r="P2" s="13"/>
      <c r="Q2" s="3"/>
      <c r="R2" s="5"/>
      <c r="S2" s="2"/>
      <c r="T2" s="3"/>
      <c r="U2" s="6" t="s">
        <v>3</v>
      </c>
      <c r="V2" s="7">
        <f>COUNTIF(U$6:U$6997,"OPEN PR (processing)")</f>
        <v>1</v>
      </c>
      <c r="W2" s="8"/>
      <c r="X2" s="8"/>
    </row>
    <row r="3" spans="1:24" ht="90" x14ac:dyDescent="0.25">
      <c r="A3" s="1">
        <v>46148</v>
      </c>
      <c r="B3" s="14"/>
      <c r="C3" s="3"/>
      <c r="D3" s="4"/>
      <c r="E3" s="14"/>
      <c r="F3" s="3"/>
      <c r="G3" s="15"/>
      <c r="H3" s="9"/>
      <c r="I3" s="9"/>
      <c r="J3" s="16"/>
      <c r="K3" s="16"/>
      <c r="L3" s="3"/>
      <c r="M3" s="10"/>
      <c r="N3" s="11"/>
      <c r="O3" s="17" t="e">
        <f>O4-P4</f>
        <v>#REF!</v>
      </c>
      <c r="P3" s="18"/>
      <c r="Q3" s="19"/>
      <c r="R3" s="20"/>
      <c r="S3" s="14"/>
      <c r="T3" s="21"/>
      <c r="U3" s="6" t="s">
        <v>4</v>
      </c>
      <c r="V3" s="7">
        <f>COUNTIF(U$6:U$6997,"PROCESSED (await for delivery)")</f>
        <v>0</v>
      </c>
      <c r="W3" s="16"/>
      <c r="X3" s="16"/>
    </row>
    <row r="4" spans="1:24" ht="60" x14ac:dyDescent="0.25">
      <c r="A4" s="14"/>
      <c r="B4" s="2"/>
      <c r="C4" s="22">
        <f>COUNTA(C6:C99)</f>
        <v>1</v>
      </c>
      <c r="D4" s="4"/>
      <c r="E4" s="14"/>
      <c r="F4" s="22">
        <f>COUNTA(F6:F99)</f>
        <v>1</v>
      </c>
      <c r="G4" s="23" t="s">
        <v>5</v>
      </c>
      <c r="H4" s="24"/>
      <c r="I4" s="24"/>
      <c r="J4" s="19"/>
      <c r="K4" s="19"/>
      <c r="L4" s="10"/>
      <c r="M4" s="10"/>
      <c r="N4" s="25" t="e">
        <f>SUBTOTAL(9,#REF!)</f>
        <v>#REF!</v>
      </c>
      <c r="O4" s="26" t="e">
        <f>SUBTOTAL(9,#REF!)</f>
        <v>#REF!</v>
      </c>
      <c r="P4" s="27" t="e">
        <f>SUBTOTAL(9,#REF!)</f>
        <v>#REF!</v>
      </c>
      <c r="Q4" s="28"/>
      <c r="R4" s="20"/>
      <c r="S4" s="14"/>
      <c r="T4" s="21"/>
      <c r="U4" s="6" t="s">
        <v>6</v>
      </c>
      <c r="V4" s="7">
        <f>COUNTIF(U$6:U$6997,"CANCELLED PR/PO")</f>
        <v>0</v>
      </c>
      <c r="W4" s="22">
        <f t="shared" ref="W4:X4" si="0">COUNTA(W6:W99)</f>
        <v>0</v>
      </c>
      <c r="X4" s="22">
        <f t="shared" si="0"/>
        <v>0</v>
      </c>
    </row>
    <row r="5" spans="1:24" ht="60" x14ac:dyDescent="0.25">
      <c r="A5" s="29" t="s">
        <v>7</v>
      </c>
      <c r="B5" s="29" t="s">
        <v>8</v>
      </c>
      <c r="C5" s="30" t="s">
        <v>9</v>
      </c>
      <c r="D5" s="31" t="s">
        <v>10</v>
      </c>
      <c r="E5" s="29" t="s">
        <v>11</v>
      </c>
      <c r="F5" s="31" t="s">
        <v>12</v>
      </c>
      <c r="G5" s="31" t="s">
        <v>13</v>
      </c>
      <c r="H5" s="31" t="s">
        <v>14</v>
      </c>
      <c r="I5" s="31" t="s">
        <v>15</v>
      </c>
      <c r="J5" s="31" t="s">
        <v>16</v>
      </c>
      <c r="K5" s="31" t="s">
        <v>17</v>
      </c>
      <c r="L5" s="31" t="s">
        <v>18</v>
      </c>
      <c r="M5" s="32" t="s">
        <v>19</v>
      </c>
      <c r="N5" s="33" t="s">
        <v>20</v>
      </c>
      <c r="O5" s="34" t="s">
        <v>21</v>
      </c>
      <c r="P5" s="35" t="s">
        <v>22</v>
      </c>
      <c r="Q5" s="31" t="s">
        <v>23</v>
      </c>
      <c r="R5" s="36" t="s">
        <v>24</v>
      </c>
      <c r="S5" s="29" t="s">
        <v>25</v>
      </c>
      <c r="T5" s="31" t="s">
        <v>26</v>
      </c>
      <c r="U5" s="31" t="s">
        <v>27</v>
      </c>
      <c r="V5" s="37" t="s">
        <v>28</v>
      </c>
      <c r="W5" s="38" t="s">
        <v>29</v>
      </c>
      <c r="X5" s="39" t="s">
        <v>30</v>
      </c>
    </row>
    <row r="6" spans="1:24" ht="31.5" x14ac:dyDescent="0.25">
      <c r="A6" s="90">
        <v>46146</v>
      </c>
      <c r="B6" s="90">
        <v>46146</v>
      </c>
      <c r="C6" s="92" t="s">
        <v>31</v>
      </c>
      <c r="D6" s="94" t="s">
        <v>32</v>
      </c>
      <c r="E6" s="90">
        <v>46161</v>
      </c>
      <c r="F6" s="94">
        <v>1000021077</v>
      </c>
      <c r="G6" s="94" t="s">
        <v>32</v>
      </c>
      <c r="H6" s="85" t="s">
        <v>33</v>
      </c>
      <c r="I6" s="40"/>
      <c r="J6" s="41" t="s">
        <v>34</v>
      </c>
      <c r="K6" s="41"/>
      <c r="L6" s="42">
        <v>6</v>
      </c>
      <c r="M6" s="42" t="s">
        <v>35</v>
      </c>
      <c r="N6" s="43">
        <v>845</v>
      </c>
      <c r="O6" s="44">
        <f t="shared" ref="O6:O7" si="1">N6*L6</f>
        <v>5070</v>
      </c>
      <c r="P6" s="45">
        <f>SUM(O6)</f>
        <v>5070</v>
      </c>
      <c r="Q6" s="96" t="s">
        <v>36</v>
      </c>
      <c r="R6" s="81">
        <v>46161</v>
      </c>
      <c r="S6" s="83"/>
      <c r="T6" s="85" t="s">
        <v>37</v>
      </c>
      <c r="U6" s="85" t="s">
        <v>3</v>
      </c>
      <c r="V6" s="46"/>
      <c r="W6" s="47"/>
      <c r="X6" s="48"/>
    </row>
    <row r="7" spans="1:24" ht="31.5" x14ac:dyDescent="0.25">
      <c r="A7" s="91"/>
      <c r="B7" s="91"/>
      <c r="C7" s="93"/>
      <c r="D7" s="95"/>
      <c r="E7" s="91"/>
      <c r="F7" s="95"/>
      <c r="G7" s="95"/>
      <c r="H7" s="86"/>
      <c r="I7" s="40"/>
      <c r="J7" s="41" t="s">
        <v>38</v>
      </c>
      <c r="K7" s="41"/>
      <c r="L7" s="42">
        <v>4</v>
      </c>
      <c r="M7" s="42" t="s">
        <v>35</v>
      </c>
      <c r="N7" s="43">
        <v>940</v>
      </c>
      <c r="O7" s="44">
        <f t="shared" si="1"/>
        <v>3760</v>
      </c>
      <c r="P7" s="45">
        <f>SUM(O7)</f>
        <v>3760</v>
      </c>
      <c r="Q7" s="97"/>
      <c r="R7" s="82"/>
      <c r="S7" s="84"/>
      <c r="T7" s="86"/>
      <c r="U7" s="86"/>
      <c r="V7" s="46"/>
      <c r="W7" s="47"/>
      <c r="X7" s="48"/>
    </row>
  </sheetData>
  <mergeCells count="14">
    <mergeCell ref="A6:A7"/>
    <mergeCell ref="B6:B7"/>
    <mergeCell ref="C6:C7"/>
    <mergeCell ref="D6:D7"/>
    <mergeCell ref="E6:E7"/>
    <mergeCell ref="R6:R7"/>
    <mergeCell ref="S6:S7"/>
    <mergeCell ref="T6:T7"/>
    <mergeCell ref="U6:U7"/>
    <mergeCell ref="E1:Q1"/>
    <mergeCell ref="F6:F7"/>
    <mergeCell ref="G6:G7"/>
    <mergeCell ref="H6:H7"/>
    <mergeCell ref="Q6:Q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E10" sqref="E10"/>
    </sheetView>
  </sheetViews>
  <sheetFormatPr defaultRowHeight="15" x14ac:dyDescent="0.25"/>
  <cols>
    <col min="1" max="1" width="58.28515625" bestFit="1" customWidth="1"/>
    <col min="2" max="2" width="8.28515625" bestFit="1" customWidth="1"/>
    <col min="3" max="3" width="8.7109375" bestFit="1" customWidth="1"/>
    <col min="4" max="4" width="20.28515625" bestFit="1" customWidth="1"/>
    <col min="5" max="5" width="29.140625" bestFit="1" customWidth="1"/>
    <col min="6" max="6" width="17.42578125" bestFit="1" customWidth="1"/>
    <col min="7" max="7" width="8" bestFit="1" customWidth="1"/>
    <col min="10" max="10" width="7.7109375" bestFit="1" customWidth="1"/>
  </cols>
  <sheetData>
    <row r="1" spans="1:10" ht="21" x14ac:dyDescent="0.35">
      <c r="A1" s="49" t="s">
        <v>39</v>
      </c>
      <c r="B1" s="49"/>
      <c r="C1" s="50"/>
      <c r="D1" s="50"/>
      <c r="E1" s="50"/>
      <c r="F1" s="50"/>
      <c r="G1" s="50"/>
      <c r="H1" s="50"/>
      <c r="I1" s="50"/>
      <c r="J1" s="50"/>
    </row>
    <row r="2" spans="1:10" x14ac:dyDescent="0.25">
      <c r="A2" s="51" t="s">
        <v>40</v>
      </c>
      <c r="B2" s="51"/>
      <c r="C2" s="50"/>
      <c r="D2" s="50"/>
      <c r="E2" s="50"/>
      <c r="F2" s="50"/>
      <c r="G2" s="50"/>
      <c r="H2" s="50"/>
      <c r="I2" s="50"/>
      <c r="J2" s="50"/>
    </row>
    <row r="3" spans="1:10" ht="15.75" x14ac:dyDescent="0.25">
      <c r="A3" s="52" t="e">
        <f>[1]JAN2026!#REF!</f>
        <v>#REF!</v>
      </c>
      <c r="B3" s="53"/>
      <c r="C3" s="50"/>
      <c r="D3" s="50"/>
      <c r="E3" s="50"/>
      <c r="F3" s="50"/>
      <c r="G3" s="50"/>
      <c r="H3" s="50"/>
      <c r="I3" s="50"/>
      <c r="J3" s="50"/>
    </row>
    <row r="4" spans="1:10" x14ac:dyDescent="0.25">
      <c r="A4" s="50"/>
      <c r="B4" s="50"/>
      <c r="C4" s="50"/>
      <c r="D4" s="50"/>
      <c r="E4" s="50"/>
      <c r="F4" s="50"/>
      <c r="G4" s="50"/>
      <c r="H4" s="50"/>
      <c r="I4" s="50"/>
      <c r="J4" s="54"/>
    </row>
    <row r="5" spans="1:10" ht="21" x14ac:dyDescent="0.35">
      <c r="A5" s="98" t="s">
        <v>41</v>
      </c>
      <c r="B5" s="98"/>
      <c r="C5" s="98"/>
      <c r="D5" s="98"/>
      <c r="E5" s="98"/>
      <c r="F5" s="98"/>
      <c r="G5" s="98"/>
      <c r="H5" s="98"/>
      <c r="I5" s="98"/>
      <c r="J5" s="55"/>
    </row>
    <row r="6" spans="1:10" ht="89.25" x14ac:dyDescent="0.25">
      <c r="A6" s="56" t="s">
        <v>42</v>
      </c>
      <c r="B6" s="56" t="s">
        <v>43</v>
      </c>
      <c r="C6" s="57" t="s">
        <v>44</v>
      </c>
      <c r="D6" s="57" t="s">
        <v>45</v>
      </c>
      <c r="E6" s="57" t="s">
        <v>46</v>
      </c>
      <c r="F6" s="57" t="s">
        <v>47</v>
      </c>
      <c r="G6" s="56" t="s">
        <v>48</v>
      </c>
      <c r="H6" s="99" t="s">
        <v>49</v>
      </c>
      <c r="I6" s="99"/>
      <c r="J6" s="55"/>
    </row>
    <row r="7" spans="1:10" ht="15.75" x14ac:dyDescent="0.25">
      <c r="A7" s="58" t="s">
        <v>50</v>
      </c>
      <c r="B7" s="58">
        <f>[1]JAN2026!B5</f>
        <v>0</v>
      </c>
      <c r="C7" s="59" t="str">
        <f>[1]JAN2026!U2</f>
        <v>SERVED</v>
      </c>
      <c r="D7" s="59" t="str">
        <f>[1]JAN2026!U3</f>
        <v>OPEN PR (processing)</v>
      </c>
      <c r="E7" s="59" t="str">
        <f>[1]JAN2026!U4</f>
        <v>PROCESSED (await for delivery)</v>
      </c>
      <c r="F7" s="59" t="str">
        <f>[1]JAN2026!U5</f>
        <v>CANCELLED PR/PO</v>
      </c>
      <c r="G7" s="60">
        <f>SUM(C7:F7)</f>
        <v>0</v>
      </c>
      <c r="H7" s="100"/>
      <c r="I7" s="100"/>
      <c r="J7" s="61" t="e">
        <f>G7/B7</f>
        <v>#DIV/0!</v>
      </c>
    </row>
  </sheetData>
  <mergeCells count="3">
    <mergeCell ref="A5:I5"/>
    <mergeCell ref="H6:I6"/>
    <mergeCell ref="H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C7" sqref="C7"/>
    </sheetView>
  </sheetViews>
  <sheetFormatPr defaultRowHeight="15" x14ac:dyDescent="0.25"/>
  <cols>
    <col min="4" max="4" width="9" bestFit="1" customWidth="1"/>
  </cols>
  <sheetData>
    <row r="1" spans="1:5" ht="18.75" x14ac:dyDescent="0.25">
      <c r="A1" s="62" t="s">
        <v>51</v>
      </c>
      <c r="B1" s="63"/>
      <c r="C1" s="63"/>
      <c r="D1" s="63"/>
      <c r="E1" s="64"/>
    </row>
    <row r="2" spans="1:5" ht="15.75" x14ac:dyDescent="0.25">
      <c r="A2" s="65"/>
      <c r="B2" s="66"/>
      <c r="C2" s="66"/>
      <c r="D2" s="66"/>
      <c r="E2" s="67"/>
    </row>
    <row r="3" spans="1:5" ht="15.75" x14ac:dyDescent="0.25">
      <c r="A3" s="65"/>
      <c r="B3" s="68" t="e">
        <f>B4-B5</f>
        <v>#VALUE!</v>
      </c>
      <c r="C3" s="69" t="e">
        <f>C4-C5</f>
        <v>#VALUE!</v>
      </c>
      <c r="D3" s="69" t="e">
        <f>D4-D5</f>
        <v>#VALUE!</v>
      </c>
      <c r="E3" s="67" t="s">
        <v>52</v>
      </c>
    </row>
    <row r="4" spans="1:5" ht="15.75" x14ac:dyDescent="0.25">
      <c r="A4" s="65"/>
      <c r="B4" s="70">
        <f>[1]JAN2026!O4</f>
        <v>0</v>
      </c>
      <c r="C4" s="70">
        <f>[1]JAN2026!V4</f>
        <v>8</v>
      </c>
      <c r="D4" s="70">
        <f>[1]JAN2026!W4</f>
        <v>0</v>
      </c>
      <c r="E4" s="67"/>
    </row>
    <row r="5" spans="1:5" ht="15.75" x14ac:dyDescent="0.25">
      <c r="A5" s="71">
        <v>46023</v>
      </c>
      <c r="B5" s="72" t="e">
        <f>SUBTOTAL(9,B7:B39)</f>
        <v>#VALUE!</v>
      </c>
      <c r="C5" s="72" t="e">
        <f>SUBTOTAL(9,C7:C39)</f>
        <v>#VALUE!</v>
      </c>
      <c r="D5" s="72" t="e">
        <f>SUBTOTAL(9,D7:D39)</f>
        <v>#VALUE!</v>
      </c>
      <c r="E5" s="67"/>
    </row>
    <row r="6" spans="1:5" ht="45" x14ac:dyDescent="0.25">
      <c r="A6" s="73" t="s">
        <v>14</v>
      </c>
      <c r="B6" s="74" t="s">
        <v>22</v>
      </c>
      <c r="C6" s="75" t="s">
        <v>29</v>
      </c>
      <c r="D6" s="76" t="s">
        <v>30</v>
      </c>
      <c r="E6" s="77" t="e">
        <f>D5/C5</f>
        <v>#VALUE!</v>
      </c>
    </row>
    <row r="7" spans="1:5" ht="15.75" x14ac:dyDescent="0.25">
      <c r="A7" s="78" t="s">
        <v>53</v>
      </c>
      <c r="B7" s="79" t="e">
        <f>SUMIF([1]JAN2026!G:G,'[1]COST SAVINGS'!A:A,[1]JAN2026!O:O)</f>
        <v>#VALUE!</v>
      </c>
      <c r="C7" s="79" t="e">
        <f>SUMIF([1]JAN2026!G:G,'[1]COST SAVINGS'!A:A,[1]JAN2026!V:V)</f>
        <v>#VALUE!</v>
      </c>
      <c r="D7" s="79" t="e">
        <f t="shared" ref="D7" si="0">C7-B7</f>
        <v>#VALUE!</v>
      </c>
      <c r="E7" s="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 2026</vt:lpstr>
      <vt:lpstr>Summary</vt:lpstr>
      <vt:lpstr>Total cost 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mis</cp:lastModifiedBy>
  <dcterms:created xsi:type="dcterms:W3CDTF">2026-06-02T03:22:42Z</dcterms:created>
  <dcterms:modified xsi:type="dcterms:W3CDTF">2026-06-05T06:43:40Z</dcterms:modified>
</cp:coreProperties>
</file>